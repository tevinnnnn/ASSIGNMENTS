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844" activeTab="1"/>
  </bookViews>
  <sheets>
    <sheet name="Instructions" sheetId="1" r:id="rId1"/>
    <sheet name="Dataset" sheetId="2" r:id="rId2"/>
  </sheets>
  <definedNames>
    <definedName name="_xlnm._FilterDatabase" localSheetId="1" hidden="1">Dataset!$A$1:$F$32</definedName>
  </definedNames>
  <calcPr calcId="152511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95" i="2" l="1"/>
  <c r="I96" i="2"/>
  <c r="I93" i="2"/>
  <c r="I94" i="2"/>
  <c r="I90" i="2"/>
  <c r="I91" i="2"/>
  <c r="I92" i="2"/>
  <c r="I86" i="2"/>
  <c r="I87" i="2"/>
  <c r="I88" i="2"/>
  <c r="I89" i="2"/>
  <c r="I82" i="2"/>
  <c r="I83" i="2"/>
  <c r="I84" i="2"/>
  <c r="I85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6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27" i="2"/>
  <c r="I8" i="2"/>
  <c r="I5" i="2"/>
  <c r="I2" i="2"/>
</calcChain>
</file>

<file path=xl/sharedStrings.xml><?xml version="1.0" encoding="utf-8"?>
<sst xmlns="http://schemas.openxmlformats.org/spreadsheetml/2006/main" count="174" uniqueCount="137">
  <si>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</si>
  <si>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</si>
  <si>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</si>
  <si>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</si>
  <si>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</si>
  <si>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</si>
  <si>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</si>
  <si>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</si>
  <si>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</si>
  <si>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</si>
  <si>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</si>
  <si>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</si>
  <si>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</si>
  <si>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</si>
  <si>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</si>
  <si>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</si>
  <si>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</si>
  <si>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</si>
  <si>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</si>
  <si>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</si>
  <si>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</si>
  <si>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</si>
  <si>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</si>
  <si>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</si>
  <si>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</si>
  <si>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</si>
  <si>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</si>
  <si>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</si>
  <si>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</si>
  <si>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</si>
  <si>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</si>
  <si>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</si>
  <si>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</si>
  <si>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</si>
  <si>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</si>
  <si>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</si>
  <si>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</si>
  <si>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</si>
  <si>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</si>
  <si>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</si>
  <si>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</si>
  <si>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</si>
  <si>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</si>
  <si>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</si>
  <si>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</si>
  <si>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</si>
  <si>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</si>
  <si>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</si>
  <si>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</si>
  <si>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</si>
  <si>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</si>
  <si>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</si>
  <si>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</si>
  <si>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</si>
  <si>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</si>
  <si>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</si>
  <si>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</si>
  <si>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</si>
  <si>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</si>
  <si>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</si>
  <si>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</si>
  <si>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</si>
  <si>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</si>
  <si>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</si>
  <si>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</si>
  <si>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</si>
  <si>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</si>
  <si>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</si>
  <si>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</si>
  <si>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</si>
  <si>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</si>
  <si>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</si>
  <si>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</si>
  <si>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</si>
  <si>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</si>
  <si>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</si>
  <si>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</si>
  <si>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</si>
  <si>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</si>
  <si>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</si>
  <si>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</si>
  <si>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</si>
  <si>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</si>
  <si>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</si>
  <si>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</si>
  <si>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</si>
  <si>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</si>
  <si>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</si>
  <si>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</si>
  <si>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</si>
  <si>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</si>
  <si>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</si>
  <si>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</si>
  <si>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</si>
  <si>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</si>
  <si>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</si>
  <si>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</si>
  <si>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</si>
  <si>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</si>
  <si>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</si>
  <si>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</si>
  <si>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</si>
  <si>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</si>
  <si>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</si>
  <si>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</si>
  <si>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</si>
  <si>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</si>
  <si>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</si>
  <si>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</si>
  <si>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</si>
  <si>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 in Price Column</t>
  </si>
  <si>
    <t>Replace missing prices using the average price of similar products/category, if reliable information is unavailable.</t>
  </si>
  <si>
    <t xml:space="preserve"> Average =</t>
  </si>
  <si>
    <t>Products with missing catogories</t>
  </si>
  <si>
    <t xml:space="preserve"> If the correct category can be determined, it should be entered. If it cannot be determined reliably, the missing value can be </t>
  </si>
  <si>
    <t>Missing category values should be checked using the product name and related information</t>
  </si>
  <si>
    <t>replaced with the most appropriate category based on similar products.</t>
  </si>
  <si>
    <t>Inconsistent Text Formats Present in Product name</t>
  </si>
  <si>
    <t>Laptops</t>
  </si>
  <si>
    <t>Used Ctrl+H (Find and replace)</t>
  </si>
  <si>
    <t>By Filter Tab , The error regarding Upper cases got spotted and is replaced accordingly by replace function inf find and replace</t>
  </si>
  <si>
    <t>Typos in catogory column</t>
  </si>
  <si>
    <t>Found Electronicscs writtern as Electronics and also blank columns are spotted Spotted by find and replaced it accordingly</t>
  </si>
  <si>
    <t>Product Name is already Standerdised</t>
  </si>
  <si>
    <t>On Catogories all the blanks are found and updated to corresponding Catogories</t>
  </si>
  <si>
    <t>All the colums and rows are selected then removed duplicates by applying remove duplicates funcion in data</t>
  </si>
  <si>
    <t>For Manufactoring Date</t>
  </si>
  <si>
    <t>For Country Code</t>
  </si>
  <si>
    <t>Merging Brand Name and Product Name</t>
  </si>
  <si>
    <t>On cell G</t>
  </si>
  <si>
    <t>Merging Brand Name and Product name</t>
  </si>
  <si>
    <t>Formatting Price to Currency Format</t>
  </si>
  <si>
    <t>Selected Price colum and Gone to Home - Number - Currency</t>
  </si>
  <si>
    <t xml:space="preserve">23-AUG-UK </t>
  </si>
  <si>
    <t>Manufactyoring Dates in d-mm-yyyy</t>
  </si>
  <si>
    <t>Conditional Formatting used</t>
  </si>
  <si>
    <t>custom rule created by conditioanl formatting in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</si>
</sst>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"/>
    <numFmt numFmtId="165" formatCode="mm/dd/yy;@"/>
    <numFmt numFmtId="166" formatCode="m/d/yy\ h:mm;@"/>
    <numFmt numFmtId="167" formatCode="[$-409]d\-mmm;@"/>
    <numFmt numFmtId="168" formatCode="dd\-mm\-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/>
    <xf numFmtId="0" fontId="8" fillId="3" borderId="0" xfId="0" applyFont="1" applyFill="1"/>
    <xf numFmtId="0" fontId="9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 applyFont="1" applyAlignment="1"/>
    <xf numFmtId="165" fontId="9" fillId="2" borderId="0" xfId="0" applyNumberFormat="1" applyFont="1" applyFill="1" applyAlignment="1">
      <alignment horizontal="center"/>
    </xf>
    <xf numFmtId="166" fontId="5" fillId="0" borderId="0" xfId="0" applyNumberFormat="1" applyFont="1"/>
    <xf numFmtId="167" fontId="0" fillId="0" borderId="0" xfId="0" applyNumberFormat="1" applyFont="1" applyAlignment="1"/>
    <xf numFmtId="168" fontId="0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3"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7" workbookViewId="0">
      <selection activeCell="D26" sqref="D26:D2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topLeftCell="C4" workbookViewId="0">
      <selection activeCell="H104" sqref="H104"/>
    </sheetView>
  </sheetViews>
  <sheetFormatPr defaultColWidth="12.6640625" defaultRowHeight="15" customHeight="1" x14ac:dyDescent="0.25"/>
  <cols>
    <col min="1" max="3" width="12.6640625" customWidth="1"/>
    <col min="4" max="4" width="12.6640625" style="22" customWidth="1"/>
    <col min="5" max="6" width="12.6640625" customWidth="1"/>
    <col min="7" max="7" width="35.88671875" customWidth="1"/>
    <col min="9" max="9" width="92.77734375" customWidth="1"/>
  </cols>
  <sheetData>
    <row r="1" spans="1:16" ht="15.75" customHeight="1" x14ac:dyDescent="0.25">
      <c r="A1" s="23" t="s">
        <v>19</v>
      </c>
      <c r="B1" s="9" t="s">
        <v>20</v>
      </c>
      <c r="C1" s="9" t="s">
        <v>21</v>
      </c>
      <c r="D1" s="19" t="s">
        <v>22</v>
      </c>
      <c r="E1" s="9" t="s">
        <v>23</v>
      </c>
      <c r="F1" s="18" t="s">
        <v>24</v>
      </c>
      <c r="G1" s="18" t="s">
        <v>130</v>
      </c>
      <c r="H1">
        <v>1.1000000000000001</v>
      </c>
      <c r="I1" t="s">
        <v>110</v>
      </c>
    </row>
    <row r="2" spans="1:16" ht="15.75" customHeight="1" x14ac:dyDescent="0.25">
      <c r="A2" s="24" t="s">
        <v>38</v>
      </c>
      <c r="B2" s="10" t="s">
        <v>39</v>
      </c>
      <c r="C2" s="10" t="s">
        <v>40</v>
      </c>
      <c r="D2" s="20">
        <v>70</v>
      </c>
      <c r="E2" s="10">
        <v>20</v>
      </c>
      <c r="F2" s="15" t="s">
        <v>31</v>
      </c>
      <c r="G2" t="str">
        <f>C2&amp;" "&amp;B2</f>
        <v>North Face Backpack</v>
      </c>
      <c r="I2" s="12">
        <f>COUNTBLANK(D2:D35)</f>
        <v>6</v>
      </c>
    </row>
    <row r="3" spans="1:16" ht="15.75" customHeight="1" x14ac:dyDescent="0.25">
      <c r="A3" s="17" t="s">
        <v>133</v>
      </c>
      <c r="B3" s="11" t="s">
        <v>47</v>
      </c>
      <c r="C3" s="11" t="s">
        <v>48</v>
      </c>
      <c r="D3" s="21">
        <v>90</v>
      </c>
      <c r="E3" s="11">
        <v>35</v>
      </c>
      <c r="F3" s="11" t="s">
        <v>35</v>
      </c>
      <c r="G3" t="str">
        <f t="shared" ref="G3:G32" si="0">C3&amp;" "&amp;B3</f>
        <v>Ninja Blender</v>
      </c>
      <c r="I3" t="s">
        <v>111</v>
      </c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94</v>
      </c>
      <c r="B4" s="10" t="s">
        <v>47</v>
      </c>
      <c r="C4" s="10" t="s">
        <v>95</v>
      </c>
      <c r="D4" s="20">
        <v>400</v>
      </c>
      <c r="E4" s="10">
        <v>40</v>
      </c>
      <c r="F4" s="10" t="s">
        <v>35</v>
      </c>
      <c r="G4" t="str">
        <f t="shared" si="0"/>
        <v>Vitamix Blender</v>
      </c>
      <c r="I4" s="12" t="s">
        <v>112</v>
      </c>
      <c r="N4" s="6"/>
      <c r="O4" s="6"/>
      <c r="P4" s="6"/>
    </row>
    <row r="5" spans="1:16" ht="15.75" customHeight="1" x14ac:dyDescent="0.3">
      <c r="A5" s="10" t="s">
        <v>80</v>
      </c>
      <c r="B5" s="10" t="s">
        <v>81</v>
      </c>
      <c r="C5" s="10" t="s">
        <v>82</v>
      </c>
      <c r="D5" s="20">
        <v>700</v>
      </c>
      <c r="E5" s="10">
        <v>50</v>
      </c>
      <c r="F5" s="10" t="s">
        <v>27</v>
      </c>
      <c r="G5" t="str">
        <f t="shared" si="0"/>
        <v>Nikon Camera</v>
      </c>
      <c r="H5" s="25"/>
      <c r="I5" s="13">
        <f>AVERAGE(D2:D35)</f>
        <v>297.85714285714283</v>
      </c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1" t="s">
        <v>77</v>
      </c>
      <c r="B6" s="11" t="s">
        <v>78</v>
      </c>
      <c r="C6" s="11" t="s">
        <v>79</v>
      </c>
      <c r="D6" s="21"/>
      <c r="E6" s="11">
        <v>10</v>
      </c>
      <c r="F6" s="11" t="s">
        <v>55</v>
      </c>
      <c r="G6" t="str">
        <f t="shared" si="0"/>
        <v>Coleman Camping Tent</v>
      </c>
    </row>
    <row r="7" spans="1:16" ht="15.75" customHeight="1" x14ac:dyDescent="0.25">
      <c r="A7" s="10" t="s">
        <v>32</v>
      </c>
      <c r="B7" s="10" t="s">
        <v>33</v>
      </c>
      <c r="C7" s="10" t="s">
        <v>34</v>
      </c>
      <c r="D7" s="20">
        <v>130</v>
      </c>
      <c r="E7" s="10">
        <v>40</v>
      </c>
      <c r="F7" s="10" t="s">
        <v>35</v>
      </c>
      <c r="G7" t="str">
        <f t="shared" si="0"/>
        <v>Keurig Coffee Maker</v>
      </c>
      <c r="H7">
        <v>1.2</v>
      </c>
      <c r="I7" t="s">
        <v>113</v>
      </c>
    </row>
    <row r="8" spans="1:16" ht="15.75" customHeight="1" x14ac:dyDescent="0.25">
      <c r="A8" s="10" t="s">
        <v>59</v>
      </c>
      <c r="B8" s="10" t="s">
        <v>33</v>
      </c>
      <c r="C8" s="10" t="s">
        <v>60</v>
      </c>
      <c r="D8" s="20">
        <v>120</v>
      </c>
      <c r="E8" s="10">
        <v>35</v>
      </c>
      <c r="F8" s="15" t="s">
        <v>27</v>
      </c>
      <c r="G8" t="str">
        <f t="shared" si="0"/>
        <v>Nespresso Coffee Maker</v>
      </c>
      <c r="I8" s="14">
        <f>COUNTBLANK(F2:F35)</f>
        <v>3</v>
      </c>
    </row>
    <row r="9" spans="1:16" ht="15.75" customHeight="1" x14ac:dyDescent="0.25">
      <c r="A9" s="10" t="s">
        <v>96</v>
      </c>
      <c r="B9" s="10" t="s">
        <v>97</v>
      </c>
      <c r="C9" s="10" t="s">
        <v>98</v>
      </c>
      <c r="D9" s="20">
        <v>60</v>
      </c>
      <c r="E9" s="10">
        <v>30</v>
      </c>
      <c r="F9" s="10" t="s">
        <v>31</v>
      </c>
      <c r="G9" t="str">
        <f t="shared" si="0"/>
        <v>Zara Dress</v>
      </c>
      <c r="I9" t="s">
        <v>115</v>
      </c>
    </row>
    <row r="10" spans="1:16" ht="15.75" customHeight="1" x14ac:dyDescent="0.25">
      <c r="A10" s="10" t="s">
        <v>86</v>
      </c>
      <c r="B10" s="10" t="s">
        <v>87</v>
      </c>
      <c r="C10" s="10" t="s">
        <v>88</v>
      </c>
      <c r="D10" s="20">
        <v>150</v>
      </c>
      <c r="E10" s="10">
        <v>30</v>
      </c>
      <c r="F10" s="15" t="s">
        <v>69</v>
      </c>
      <c r="G10" t="str">
        <f t="shared" si="0"/>
        <v>Xiaomi Fitness Tracker</v>
      </c>
      <c r="I10" t="s">
        <v>114</v>
      </c>
    </row>
    <row r="11" spans="1:16" ht="15.75" customHeight="1" x14ac:dyDescent="0.25">
      <c r="A11" s="10" t="s">
        <v>102</v>
      </c>
      <c r="B11" s="10" t="s">
        <v>87</v>
      </c>
      <c r="C11" s="10" t="s">
        <v>103</v>
      </c>
      <c r="D11" s="20">
        <v>130</v>
      </c>
      <c r="E11" s="10">
        <v>5</v>
      </c>
      <c r="F11" s="15" t="s">
        <v>69</v>
      </c>
      <c r="G11" t="str">
        <f t="shared" si="0"/>
        <v>Garmin Fitness Tracker</v>
      </c>
      <c r="I11" t="s">
        <v>116</v>
      </c>
    </row>
    <row r="12" spans="1:16" ht="15.75" customHeight="1" x14ac:dyDescent="0.25">
      <c r="A12" s="11" t="s">
        <v>41</v>
      </c>
      <c r="B12" s="11" t="s">
        <v>42</v>
      </c>
      <c r="C12" s="11" t="s">
        <v>43</v>
      </c>
      <c r="D12" s="21"/>
      <c r="E12" s="11">
        <v>45</v>
      </c>
      <c r="F12" s="11" t="s">
        <v>27</v>
      </c>
      <c r="G12" t="str">
        <f t="shared" si="0"/>
        <v>Sony Headphones</v>
      </c>
    </row>
    <row r="13" spans="1:16" ht="15.75" customHeight="1" x14ac:dyDescent="0.25">
      <c r="A13" s="10" t="s">
        <v>64</v>
      </c>
      <c r="B13" s="10" t="s">
        <v>42</v>
      </c>
      <c r="C13" s="10" t="s">
        <v>65</v>
      </c>
      <c r="D13" s="20">
        <v>250</v>
      </c>
      <c r="E13" s="10">
        <v>20</v>
      </c>
      <c r="F13" s="10" t="s">
        <v>27</v>
      </c>
      <c r="G13" t="str">
        <f t="shared" si="0"/>
        <v>Bose Headphones</v>
      </c>
    </row>
    <row r="14" spans="1:16" ht="15.75" customHeight="1" x14ac:dyDescent="0.25">
      <c r="A14" s="11" t="s">
        <v>52</v>
      </c>
      <c r="B14" s="11" t="s">
        <v>53</v>
      </c>
      <c r="C14" s="11" t="s">
        <v>54</v>
      </c>
      <c r="D14" s="21">
        <v>130</v>
      </c>
      <c r="E14" s="11">
        <v>10</v>
      </c>
      <c r="F14" s="11" t="s">
        <v>55</v>
      </c>
      <c r="G14" t="str">
        <f t="shared" si="0"/>
        <v>Timberland Hiking Boots</v>
      </c>
      <c r="H14">
        <v>2.1</v>
      </c>
      <c r="I14" t="s">
        <v>117</v>
      </c>
    </row>
    <row r="15" spans="1:16" ht="15.75" customHeight="1" x14ac:dyDescent="0.25">
      <c r="A15" s="11" t="s">
        <v>104</v>
      </c>
      <c r="B15" s="11" t="s">
        <v>105</v>
      </c>
      <c r="C15" s="11" t="s">
        <v>106</v>
      </c>
      <c r="D15" s="21">
        <v>50</v>
      </c>
      <c r="E15" s="11">
        <v>50</v>
      </c>
      <c r="F15" s="11" t="s">
        <v>31</v>
      </c>
      <c r="G15" t="str">
        <f t="shared" si="0"/>
        <v>Levi's Jeans</v>
      </c>
      <c r="I15" s="16" t="s">
        <v>119</v>
      </c>
    </row>
    <row r="16" spans="1:16" ht="15.75" customHeight="1" x14ac:dyDescent="0.25">
      <c r="A16" s="11" t="s">
        <v>66</v>
      </c>
      <c r="B16" s="11" t="s">
        <v>67</v>
      </c>
      <c r="C16" s="11" t="s">
        <v>68</v>
      </c>
      <c r="D16" s="21">
        <v>50</v>
      </c>
      <c r="E16" s="11">
        <v>35</v>
      </c>
      <c r="F16" s="11" t="s">
        <v>69</v>
      </c>
      <c r="G16" t="str">
        <f t="shared" si="0"/>
        <v>Samsonite Laptop Bag</v>
      </c>
      <c r="I16" s="16" t="s">
        <v>120</v>
      </c>
    </row>
    <row r="17" spans="1:10" ht="15.75" customHeight="1" x14ac:dyDescent="0.25">
      <c r="A17" s="10" t="s">
        <v>25</v>
      </c>
      <c r="B17" s="15" t="s">
        <v>118</v>
      </c>
      <c r="C17" s="10" t="s">
        <v>26</v>
      </c>
      <c r="D17" s="20">
        <v>1000</v>
      </c>
      <c r="E17" s="10">
        <v>30</v>
      </c>
      <c r="F17" s="10" t="s">
        <v>27</v>
      </c>
      <c r="G17" t="str">
        <f t="shared" si="0"/>
        <v>Dell Laptops</v>
      </c>
    </row>
    <row r="18" spans="1:10" ht="15.75" customHeight="1" x14ac:dyDescent="0.25">
      <c r="A18" s="10" t="s">
        <v>56</v>
      </c>
      <c r="B18" s="10" t="s">
        <v>118</v>
      </c>
      <c r="C18" s="10" t="s">
        <v>57</v>
      </c>
      <c r="D18" s="20">
        <v>950</v>
      </c>
      <c r="E18" s="10">
        <v>25</v>
      </c>
      <c r="F18" s="10" t="s">
        <v>27</v>
      </c>
      <c r="G18" t="str">
        <f t="shared" si="0"/>
        <v>HP Laptops</v>
      </c>
      <c r="H18">
        <v>2.2000000000000002</v>
      </c>
      <c r="I18" s="16" t="s">
        <v>121</v>
      </c>
    </row>
    <row r="19" spans="1:10" ht="15.75" customHeight="1" x14ac:dyDescent="0.25">
      <c r="A19" s="11" t="s">
        <v>72</v>
      </c>
      <c r="B19" s="11" t="s">
        <v>118</v>
      </c>
      <c r="C19" s="11" t="s">
        <v>73</v>
      </c>
      <c r="D19" s="21">
        <v>980</v>
      </c>
      <c r="E19" s="11">
        <v>10</v>
      </c>
      <c r="F19" s="11" t="s">
        <v>27</v>
      </c>
      <c r="G19" t="str">
        <f t="shared" si="0"/>
        <v>Asus Laptops</v>
      </c>
      <c r="I19" t="s">
        <v>122</v>
      </c>
    </row>
    <row r="20" spans="1:10" ht="15.75" customHeight="1" x14ac:dyDescent="0.25">
      <c r="A20" s="11" t="s">
        <v>83</v>
      </c>
      <c r="B20" s="11" t="s">
        <v>84</v>
      </c>
      <c r="C20" s="11" t="s">
        <v>85</v>
      </c>
      <c r="D20" s="21">
        <v>80</v>
      </c>
      <c r="E20" s="11">
        <v>20</v>
      </c>
      <c r="F20" s="11" t="s">
        <v>35</v>
      </c>
      <c r="G20" t="str">
        <f t="shared" si="0"/>
        <v>Panasonic Microwave</v>
      </c>
    </row>
    <row r="21" spans="1:10" ht="15.75" customHeight="1" x14ac:dyDescent="0.25">
      <c r="A21" s="11" t="s">
        <v>36</v>
      </c>
      <c r="B21" s="11" t="s">
        <v>90</v>
      </c>
      <c r="C21" s="11" t="s">
        <v>37</v>
      </c>
      <c r="D21" s="21">
        <v>900</v>
      </c>
      <c r="E21" s="11">
        <v>25</v>
      </c>
      <c r="F21" s="11" t="s">
        <v>27</v>
      </c>
      <c r="G21" t="str">
        <f t="shared" si="0"/>
        <v>Samsung Smartphone</v>
      </c>
      <c r="H21">
        <v>2.2999999999999998</v>
      </c>
      <c r="I21" s="16" t="s">
        <v>123</v>
      </c>
    </row>
    <row r="22" spans="1:10" ht="15.75" customHeight="1" x14ac:dyDescent="0.25">
      <c r="A22" s="10" t="s">
        <v>89</v>
      </c>
      <c r="B22" s="10" t="s">
        <v>90</v>
      </c>
      <c r="C22" s="10" t="s">
        <v>91</v>
      </c>
      <c r="D22" s="20">
        <v>800</v>
      </c>
      <c r="E22" s="10">
        <v>45</v>
      </c>
      <c r="F22" s="10" t="s">
        <v>27</v>
      </c>
      <c r="G22" t="str">
        <f t="shared" si="0"/>
        <v>Google Smartphone</v>
      </c>
      <c r="I22" s="16" t="s">
        <v>124</v>
      </c>
    </row>
    <row r="23" spans="1:10" ht="15.75" customHeight="1" x14ac:dyDescent="0.25">
      <c r="A23" s="11" t="s">
        <v>61</v>
      </c>
      <c r="B23" s="11" t="s">
        <v>62</v>
      </c>
      <c r="C23" s="11" t="s">
        <v>63</v>
      </c>
      <c r="D23" s="21">
        <v>150</v>
      </c>
      <c r="E23" s="11">
        <v>15</v>
      </c>
      <c r="F23" s="11" t="s">
        <v>27</v>
      </c>
      <c r="G23" t="str">
        <f t="shared" si="0"/>
        <v>Fitbit Smartwatch</v>
      </c>
    </row>
    <row r="24" spans="1:10" ht="15.75" customHeight="1" x14ac:dyDescent="0.25">
      <c r="A24" s="10" t="s">
        <v>70</v>
      </c>
      <c r="B24" s="10" t="s">
        <v>62</v>
      </c>
      <c r="C24" s="10" t="s">
        <v>71</v>
      </c>
      <c r="D24" s="20">
        <v>160</v>
      </c>
      <c r="E24" s="10">
        <v>15</v>
      </c>
      <c r="F24" s="10" t="s">
        <v>27</v>
      </c>
      <c r="G24" t="str">
        <f t="shared" si="0"/>
        <v>Huawei Smartwatch</v>
      </c>
      <c r="H24">
        <v>3.1</v>
      </c>
      <c r="I24" s="16" t="s">
        <v>125</v>
      </c>
    </row>
    <row r="25" spans="1:10" ht="15.75" customHeight="1" x14ac:dyDescent="0.25">
      <c r="A25" s="11" t="s">
        <v>28</v>
      </c>
      <c r="B25" s="11" t="s">
        <v>29</v>
      </c>
      <c r="C25" s="11" t="s">
        <v>30</v>
      </c>
      <c r="D25" s="21">
        <v>80</v>
      </c>
      <c r="E25" s="11">
        <v>15</v>
      </c>
      <c r="F25" s="11" t="s">
        <v>31</v>
      </c>
      <c r="G25" t="str">
        <f t="shared" si="0"/>
        <v>Nike Sneakers</v>
      </c>
    </row>
    <row r="26" spans="1:10" ht="15.75" customHeight="1" x14ac:dyDescent="0.25">
      <c r="A26" s="17" t="s">
        <v>58</v>
      </c>
      <c r="B26" s="11" t="s">
        <v>29</v>
      </c>
      <c r="C26" s="11" t="s">
        <v>46</v>
      </c>
      <c r="D26" s="21">
        <v>90</v>
      </c>
      <c r="E26" s="11">
        <v>40</v>
      </c>
      <c r="F26" s="17" t="s">
        <v>31</v>
      </c>
      <c r="G26" t="str">
        <f t="shared" si="0"/>
        <v>Adidas Sneakers</v>
      </c>
      <c r="H26">
        <v>4.0999999999999996</v>
      </c>
      <c r="I26" s="16" t="s">
        <v>126</v>
      </c>
      <c r="J26" s="16" t="s">
        <v>127</v>
      </c>
    </row>
    <row r="27" spans="1:10" ht="15.75" customHeight="1" x14ac:dyDescent="0.25">
      <c r="A27" s="10" t="s">
        <v>74</v>
      </c>
      <c r="B27" s="10" t="s">
        <v>75</v>
      </c>
      <c r="C27" s="10" t="s">
        <v>76</v>
      </c>
      <c r="D27" s="20">
        <v>150</v>
      </c>
      <c r="E27" s="10">
        <v>15</v>
      </c>
      <c r="F27" s="10" t="s">
        <v>31</v>
      </c>
      <c r="G27" t="str">
        <f t="shared" si="0"/>
        <v>Oakley Sunglasses</v>
      </c>
      <c r="H27" s="25"/>
      <c r="I27" s="26" t="str">
        <f>LEFT(A2,2)</f>
        <v>22</v>
      </c>
      <c r="J27" t="str">
        <f>RIGHT(A2,2)</f>
        <v>US</v>
      </c>
    </row>
    <row r="28" spans="1:10" ht="15.75" customHeight="1" x14ac:dyDescent="0.25">
      <c r="A28" s="11" t="s">
        <v>92</v>
      </c>
      <c r="B28" s="11" t="s">
        <v>75</v>
      </c>
      <c r="C28" s="11" t="s">
        <v>93</v>
      </c>
      <c r="D28" s="21"/>
      <c r="E28" s="11">
        <v>25</v>
      </c>
      <c r="F28" s="11" t="s">
        <v>31</v>
      </c>
      <c r="G28" t="str">
        <f t="shared" si="0"/>
        <v>Ray-Ban Sunglasses</v>
      </c>
      <c r="H28" s="25"/>
      <c r="I28" s="26" t="str">
        <f t="shared" ref="I28:I57" si="1">LEFT(A3,2)</f>
        <v>23</v>
      </c>
      <c r="J28" t="str">
        <f t="shared" ref="J28:J57" si="2">RIGHT(A3,2)</f>
        <v xml:space="preserve">K </v>
      </c>
    </row>
    <row r="29" spans="1:10" ht="15.75" customHeight="1" x14ac:dyDescent="0.25">
      <c r="A29" s="10" t="s">
        <v>49</v>
      </c>
      <c r="B29" s="10" t="s">
        <v>50</v>
      </c>
      <c r="C29" s="10" t="s">
        <v>51</v>
      </c>
      <c r="D29" s="20">
        <v>500</v>
      </c>
      <c r="E29" s="10">
        <v>50</v>
      </c>
      <c r="F29" s="10" t="s">
        <v>27</v>
      </c>
      <c r="G29" t="str">
        <f t="shared" si="0"/>
        <v>Apple Tablet</v>
      </c>
      <c r="H29" s="25"/>
      <c r="I29" s="26" t="str">
        <f t="shared" si="1"/>
        <v>11</v>
      </c>
      <c r="J29" t="str">
        <f t="shared" si="2"/>
        <v>CA</v>
      </c>
    </row>
    <row r="30" spans="1:10" ht="15.75" customHeight="1" x14ac:dyDescent="0.25">
      <c r="A30" s="11" t="s">
        <v>99</v>
      </c>
      <c r="B30" s="11" t="s">
        <v>100</v>
      </c>
      <c r="C30" s="11" t="s">
        <v>101</v>
      </c>
      <c r="D30" s="21">
        <v>40</v>
      </c>
      <c r="E30" s="11">
        <v>10</v>
      </c>
      <c r="F30" s="11" t="s">
        <v>35</v>
      </c>
      <c r="G30" t="str">
        <f t="shared" si="0"/>
        <v>Hamilton Toaster</v>
      </c>
      <c r="H30" s="25"/>
      <c r="I30" s="26" t="str">
        <f t="shared" si="1"/>
        <v>14</v>
      </c>
      <c r="J30" t="str">
        <f t="shared" si="2"/>
        <v>RU</v>
      </c>
    </row>
    <row r="31" spans="1:10" ht="15.75" customHeight="1" x14ac:dyDescent="0.25">
      <c r="A31" s="10" t="s">
        <v>44</v>
      </c>
      <c r="B31" s="10" t="s">
        <v>45</v>
      </c>
      <c r="C31" s="10" t="s">
        <v>46</v>
      </c>
      <c r="D31" s="20">
        <v>30</v>
      </c>
      <c r="E31" s="10">
        <v>5</v>
      </c>
      <c r="F31" s="10" t="s">
        <v>31</v>
      </c>
      <c r="G31" t="str">
        <f t="shared" si="0"/>
        <v>Adidas T-shirt</v>
      </c>
      <c r="H31" s="25"/>
      <c r="I31" s="26" t="str">
        <f t="shared" si="1"/>
        <v>14</v>
      </c>
      <c r="J31" t="str">
        <f t="shared" si="2"/>
        <v>US</v>
      </c>
    </row>
    <row r="32" spans="1:10" ht="15.75" customHeight="1" x14ac:dyDescent="0.25">
      <c r="A32" s="11" t="s">
        <v>107</v>
      </c>
      <c r="B32" s="11" t="s">
        <v>108</v>
      </c>
      <c r="C32" s="11" t="s">
        <v>109</v>
      </c>
      <c r="D32" s="21">
        <v>100</v>
      </c>
      <c r="E32" s="11">
        <v>20</v>
      </c>
      <c r="F32" s="11" t="s">
        <v>69</v>
      </c>
      <c r="G32" t="str">
        <f t="shared" si="0"/>
        <v>Casio Watch</v>
      </c>
      <c r="H32" s="25"/>
      <c r="I32" s="26" t="str">
        <f t="shared" si="1"/>
        <v>03</v>
      </c>
      <c r="J32" t="str">
        <f t="shared" si="2"/>
        <v>US</v>
      </c>
    </row>
    <row r="33" spans="8:10" ht="15.75" customHeight="1" x14ac:dyDescent="0.25">
      <c r="H33" s="25"/>
      <c r="I33" s="26" t="str">
        <f t="shared" si="1"/>
        <v>08</v>
      </c>
      <c r="J33" t="str">
        <f t="shared" si="2"/>
        <v>DE</v>
      </c>
    </row>
    <row r="34" spans="8:10" ht="15.75" customHeight="1" x14ac:dyDescent="0.25">
      <c r="H34" s="25"/>
      <c r="I34" s="26" t="str">
        <f t="shared" si="1"/>
        <v>07</v>
      </c>
      <c r="J34" t="str">
        <f t="shared" si="2"/>
        <v>CA</v>
      </c>
    </row>
    <row r="35" spans="8:10" ht="15.75" customHeight="1" x14ac:dyDescent="0.25">
      <c r="H35" s="25"/>
      <c r="I35" s="26" t="str">
        <f t="shared" si="1"/>
        <v>19</v>
      </c>
      <c r="J35" t="str">
        <f t="shared" si="2"/>
        <v>BR</v>
      </c>
    </row>
    <row r="36" spans="8:10" ht="15.75" customHeight="1" x14ac:dyDescent="0.25">
      <c r="H36" s="25"/>
      <c r="I36" s="26" t="str">
        <f t="shared" si="1"/>
        <v>24</v>
      </c>
      <c r="J36" t="str">
        <f t="shared" si="2"/>
        <v>CA</v>
      </c>
    </row>
    <row r="37" spans="8:10" ht="15.75" customHeight="1" x14ac:dyDescent="0.25">
      <c r="H37" s="25"/>
      <c r="I37" s="26" t="str">
        <f t="shared" si="1"/>
        <v>07</v>
      </c>
      <c r="J37" t="str">
        <f t="shared" si="2"/>
        <v>UK</v>
      </c>
    </row>
    <row r="38" spans="8:10" ht="15.75" customHeight="1" x14ac:dyDescent="0.25">
      <c r="H38" s="25"/>
      <c r="I38" s="26" t="str">
        <f t="shared" si="1"/>
        <v>16</v>
      </c>
      <c r="J38" t="str">
        <f t="shared" si="2"/>
        <v>ES</v>
      </c>
    </row>
    <row r="39" spans="8:10" ht="15.75" customHeight="1" x14ac:dyDescent="0.25">
      <c r="H39" s="25"/>
      <c r="I39" s="26" t="str">
        <f t="shared" si="1"/>
        <v>14</v>
      </c>
      <c r="J39" t="str">
        <f t="shared" si="2"/>
        <v>UK</v>
      </c>
    </row>
    <row r="40" spans="8:10" ht="15.75" customHeight="1" x14ac:dyDescent="0.25">
      <c r="H40" s="25"/>
      <c r="I40" s="26" t="str">
        <f t="shared" si="1"/>
        <v>02</v>
      </c>
      <c r="J40" t="str">
        <f t="shared" si="2"/>
        <v>CA</v>
      </c>
    </row>
    <row r="41" spans="8:10" ht="15.75" customHeight="1" x14ac:dyDescent="0.25">
      <c r="H41" s="25"/>
      <c r="I41" s="26" t="str">
        <f t="shared" si="1"/>
        <v>21</v>
      </c>
      <c r="J41" t="str">
        <f t="shared" si="2"/>
        <v>CA</v>
      </c>
    </row>
    <row r="42" spans="8:10" ht="15.75" customHeight="1" x14ac:dyDescent="0.25">
      <c r="H42" s="25"/>
      <c r="I42" s="26" t="str">
        <f t="shared" si="1"/>
        <v>28</v>
      </c>
      <c r="J42" t="str">
        <f t="shared" si="2"/>
        <v>US</v>
      </c>
    </row>
    <row r="43" spans="8:10" ht="15.75" customHeight="1" x14ac:dyDescent="0.25">
      <c r="H43" s="25"/>
      <c r="I43" s="26" t="str">
        <f t="shared" si="1"/>
        <v>17</v>
      </c>
      <c r="J43" t="str">
        <f t="shared" si="2"/>
        <v>IN</v>
      </c>
    </row>
    <row r="44" spans="8:10" ht="15.75" customHeight="1" x14ac:dyDescent="0.25">
      <c r="H44" s="25"/>
      <c r="I44" s="26" t="str">
        <f t="shared" si="1"/>
        <v>27</v>
      </c>
      <c r="J44" t="str">
        <f t="shared" si="2"/>
        <v>IT</v>
      </c>
    </row>
    <row r="45" spans="8:10" ht="15.75" customHeight="1" x14ac:dyDescent="0.25">
      <c r="H45" s="25"/>
      <c r="I45" s="26" t="str">
        <f t="shared" si="1"/>
        <v>09</v>
      </c>
      <c r="J45" t="str">
        <f t="shared" si="2"/>
        <v>CA</v>
      </c>
    </row>
    <row r="46" spans="8:10" ht="15.75" customHeight="1" x14ac:dyDescent="0.25">
      <c r="H46" s="25"/>
      <c r="I46" s="26" t="str">
        <f t="shared" si="1"/>
        <v>11</v>
      </c>
      <c r="J46" t="str">
        <f t="shared" si="2"/>
        <v>US</v>
      </c>
    </row>
    <row r="47" spans="8:10" ht="15.75" customHeight="1" x14ac:dyDescent="0.25">
      <c r="H47" s="25"/>
      <c r="I47" s="26" t="str">
        <f t="shared" si="1"/>
        <v>29</v>
      </c>
      <c r="J47" t="str">
        <f t="shared" si="2"/>
        <v>CA</v>
      </c>
    </row>
    <row r="48" spans="8:10" ht="15.75" customHeight="1" x14ac:dyDescent="0.25">
      <c r="H48" s="25"/>
      <c r="I48" s="26" t="str">
        <f t="shared" si="1"/>
        <v>18</v>
      </c>
      <c r="J48" t="str">
        <f t="shared" si="2"/>
        <v>CA</v>
      </c>
    </row>
    <row r="49" spans="8:10" ht="15.75" customHeight="1" x14ac:dyDescent="0.25">
      <c r="H49" s="25"/>
      <c r="I49" s="26" t="str">
        <f t="shared" si="1"/>
        <v>20</v>
      </c>
      <c r="J49" t="str">
        <f t="shared" si="2"/>
        <v>CN</v>
      </c>
    </row>
    <row r="50" spans="8:10" ht="15.75" customHeight="1" x14ac:dyDescent="0.25">
      <c r="H50" s="25"/>
      <c r="I50" s="26" t="str">
        <f t="shared" si="1"/>
        <v>15</v>
      </c>
      <c r="J50" t="str">
        <f t="shared" si="2"/>
        <v>US</v>
      </c>
    </row>
    <row r="51" spans="8:10" ht="15.75" customHeight="1" x14ac:dyDescent="0.25">
      <c r="H51" s="25"/>
      <c r="I51" s="26" t="str">
        <f t="shared" si="1"/>
        <v>25</v>
      </c>
      <c r="J51" t="str">
        <f t="shared" si="2"/>
        <v>AU</v>
      </c>
    </row>
    <row r="52" spans="8:10" ht="15.75" customHeight="1" x14ac:dyDescent="0.25">
      <c r="H52" s="25"/>
      <c r="I52" s="26" t="str">
        <f t="shared" si="1"/>
        <v>01</v>
      </c>
      <c r="J52" t="str">
        <f t="shared" si="2"/>
        <v>UK</v>
      </c>
    </row>
    <row r="53" spans="8:10" ht="15.75" customHeight="1" x14ac:dyDescent="0.25">
      <c r="H53" s="25"/>
      <c r="I53" s="26" t="str">
        <f t="shared" si="1"/>
        <v>03</v>
      </c>
      <c r="J53" t="str">
        <f t="shared" si="2"/>
        <v>CA</v>
      </c>
    </row>
    <row r="54" spans="8:10" ht="15.75" customHeight="1" x14ac:dyDescent="0.25">
      <c r="H54" s="25"/>
      <c r="I54" s="26" t="str">
        <f t="shared" si="1"/>
        <v>05</v>
      </c>
      <c r="J54" t="str">
        <f t="shared" si="2"/>
        <v>UK</v>
      </c>
    </row>
    <row r="55" spans="8:10" ht="15.75" customHeight="1" x14ac:dyDescent="0.25">
      <c r="H55" s="25"/>
      <c r="I55" s="26" t="str">
        <f t="shared" si="1"/>
        <v>13</v>
      </c>
      <c r="J55" t="str">
        <f t="shared" si="2"/>
        <v>CA</v>
      </c>
    </row>
    <row r="56" spans="8:10" ht="15.75" customHeight="1" x14ac:dyDescent="0.25">
      <c r="H56" s="25"/>
      <c r="I56" s="26" t="str">
        <f t="shared" si="1"/>
        <v>19</v>
      </c>
      <c r="J56" t="str">
        <f t="shared" si="2"/>
        <v>UK</v>
      </c>
    </row>
    <row r="57" spans="8:10" ht="15.75" customHeight="1" x14ac:dyDescent="0.25">
      <c r="H57" s="25"/>
      <c r="I57" s="26" t="str">
        <f t="shared" si="1"/>
        <v>09</v>
      </c>
      <c r="J57" t="str">
        <f t="shared" si="2"/>
        <v>FR</v>
      </c>
    </row>
    <row r="58" spans="8:10" ht="15.75" customHeight="1" x14ac:dyDescent="0.25">
      <c r="I58" s="27"/>
    </row>
    <row r="59" spans="8:10" ht="15.75" customHeight="1" x14ac:dyDescent="0.25">
      <c r="H59">
        <v>4.2</v>
      </c>
      <c r="I59" s="16" t="s">
        <v>128</v>
      </c>
    </row>
    <row r="60" spans="8:10" ht="15.75" customHeight="1" x14ac:dyDescent="0.25">
      <c r="H60" s="16"/>
      <c r="I60" s="16" t="s">
        <v>129</v>
      </c>
    </row>
    <row r="61" spans="8:10" ht="15.75" customHeight="1" x14ac:dyDescent="0.25">
      <c r="I61" s="16"/>
    </row>
    <row r="62" spans="8:10" ht="15.75" customHeight="1" x14ac:dyDescent="0.25">
      <c r="H62">
        <v>5.0999999999999996</v>
      </c>
      <c r="I62" s="16" t="s">
        <v>131</v>
      </c>
    </row>
    <row r="63" spans="8:10" ht="15.75" customHeight="1" x14ac:dyDescent="0.25">
      <c r="I63" s="16" t="s">
        <v>132</v>
      </c>
    </row>
    <row r="64" spans="8:10" ht="15.75" customHeight="1" x14ac:dyDescent="0.25">
      <c r="I64" s="16"/>
    </row>
    <row r="65" spans="8:9" ht="15.75" customHeight="1" x14ac:dyDescent="0.25">
      <c r="H65">
        <v>5.2</v>
      </c>
      <c r="I65" s="16" t="s">
        <v>134</v>
      </c>
    </row>
    <row r="66" spans="8:9" ht="15.75" customHeight="1" x14ac:dyDescent="0.25">
      <c r="I66" s="16" t="str">
        <f>TEXT(DATE(2026,MATCH(MID(A2,4,3),{"JAN","FEB","MAR","APR","MAY","JUN","JUL","AUG","SEP","OCT","NOV","DEC"},0),VALUE(LEFT(A2,2))),"dd-mm-yyyy")</f>
        <v>22-05-2026</v>
      </c>
    </row>
    <row r="67" spans="8:9" ht="15.75" customHeight="1" x14ac:dyDescent="0.25">
      <c r="I67" s="16" t="str">
        <f>TEXT(DATE(2026,MATCH(MID(A3,4,3),{"JAN","FEB","MAR","APR","MAY","JUN","JUL","AUG","SEP","OCT","NOV","DEC"},0),VALUE(LEFT(A3,2))),"dd-mm-yyyy")</f>
        <v>23-08-2026</v>
      </c>
    </row>
    <row r="68" spans="8:9" ht="15.75" customHeight="1" x14ac:dyDescent="0.25">
      <c r="I68" s="16" t="str">
        <f>TEXT(DATE(2026,MATCH(MID(A4,4,3),{"JAN","FEB","MAR","APR","MAY","JUN","JUL","AUG","SEP","OCT","NOV","DEC"},0),VALUE(LEFT(A4,2))),"dd-mm-yyyy")</f>
        <v>11-07-2026</v>
      </c>
    </row>
    <row r="69" spans="8:9" ht="15.75" customHeight="1" x14ac:dyDescent="0.25">
      <c r="I69" s="16" t="str">
        <f>TEXT(DATE(2026,MATCH(MID(A5,4,3),{"JAN","FEB","MAR","APR","MAY","JUN","JUL","AUG","SEP","OCT","NOV","DEC"},0),VALUE(LEFT(A5,2))),"dd-mm-yyyy")</f>
        <v>14-05-2026</v>
      </c>
    </row>
    <row r="70" spans="8:9" ht="15.75" customHeight="1" x14ac:dyDescent="0.25">
      <c r="I70" s="16" t="str">
        <f>TEXT(DATE(2026,MATCH(MID(A6,4,3),{"JAN","FEB","MAR","APR","MAY","JUN","JUL","AUG","SEP","OCT","NOV","DEC"},0),VALUE(LEFT(A6,2))),"dd-mm-yyyy")</f>
        <v>14-08-2026</v>
      </c>
    </row>
    <row r="71" spans="8:9" ht="15.75" customHeight="1" x14ac:dyDescent="0.25">
      <c r="I71" s="16" t="str">
        <f>TEXT(DATE(2026,MATCH(MID(A7,4,3),{"JAN","FEB","MAR","APR","MAY","JUN","JUL","AUG","SEP","OCT","NOV","DEC"},0),VALUE(LEFT(A7,2))),"dd-mm-yyyy")</f>
        <v>03-03-2026</v>
      </c>
    </row>
    <row r="72" spans="8:9" ht="15.75" customHeight="1" x14ac:dyDescent="0.25">
      <c r="I72" s="16" t="str">
        <f>TEXT(DATE(2026,MATCH(MID(A8,4,3),{"JAN","FEB","MAR","APR","MAY","JUN","JUL","AUG","SEP","OCT","NOV","DEC"},0),VALUE(LEFT(A8,2))),"dd-mm-yyyy")</f>
        <v>08-12-2026</v>
      </c>
    </row>
    <row r="73" spans="8:9" ht="15.75" customHeight="1" x14ac:dyDescent="0.25">
      <c r="I73" s="16" t="str">
        <f>TEXT(DATE(2026,MATCH(MID(A9,4,3),{"JAN","FEB","MAR","APR","MAY","JUN","JUL","AUG","SEP","OCT","NOV","DEC"},0),VALUE(LEFT(A9,2))),"dd-mm-yyyy")</f>
        <v>07-03-2026</v>
      </c>
    </row>
    <row r="74" spans="8:9" ht="15.75" customHeight="1" x14ac:dyDescent="0.25">
      <c r="I74" s="16" t="str">
        <f>TEXT(DATE(2026,MATCH(MID(A10,4,3),{"JAN","FEB","MAR","APR","MAY","JUN","JUL","AUG","SEP","OCT","NOV","DEC"},0),VALUE(LEFT(A10,2))),"dd-mm-yyyy")</f>
        <v>19-07-2026</v>
      </c>
    </row>
    <row r="75" spans="8:9" ht="15.75" customHeight="1" x14ac:dyDescent="0.25">
      <c r="I75" s="16" t="str">
        <f>TEXT(DATE(2026,MATCH(MID(A11,4,3),{"JAN","FEB","MAR","APR","MAY","JUN","JUL","AUG","SEP","OCT","NOV","DEC"},0),VALUE(LEFT(A11,2))),"dd-mm-yyyy")</f>
        <v>24-05-2026</v>
      </c>
    </row>
    <row r="76" spans="8:9" ht="15.75" customHeight="1" x14ac:dyDescent="0.25">
      <c r="I76" s="16" t="str">
        <f>TEXT(DATE(2026,MATCH(MID(A12,4,3),{"JAN","FEB","MAR","APR","MAY","JUN","JUL","AUG","SEP","OCT","NOV","DEC"},0),VALUE(LEFT(A12,2))),"dd-mm-yyyy")</f>
        <v>07-06-2026</v>
      </c>
    </row>
    <row r="77" spans="8:9" ht="15.75" customHeight="1" x14ac:dyDescent="0.25">
      <c r="I77" s="16" t="str">
        <f>TEXT(DATE(2026,MATCH(MID(A13,4,3),{"JAN","FEB","MAR","APR","MAY","JUN","JUL","AUG","SEP","OCT","NOV","DEC"},0),VALUE(LEFT(A13,2))),"dd-mm-yyyy")</f>
        <v>16-04-2026</v>
      </c>
    </row>
    <row r="78" spans="8:9" ht="15.75" customHeight="1" x14ac:dyDescent="0.25">
      <c r="I78" s="16" t="str">
        <f>TEXT(DATE(2026,MATCH(MID(A14,4,3),{"JAN","FEB","MAR","APR","MAY","JUN","JUL","AUG","SEP","OCT","NOV","DEC"},0),VALUE(LEFT(A14,2))),"dd-mm-yyyy")</f>
        <v>14-10-2026</v>
      </c>
    </row>
    <row r="79" spans="8:9" ht="15.75" customHeight="1" x14ac:dyDescent="0.25">
      <c r="I79" s="16" t="str">
        <f>TEXT(DATE(2026,MATCH(MID(A15,4,3),{"JAN","FEB","MAR","APR","MAY","JUN","JUL","AUG","SEP","OCT","NOV","DEC"},0),VALUE(LEFT(A15,2))),"dd-mm-yyyy")</f>
        <v>02-12-2026</v>
      </c>
    </row>
    <row r="80" spans="8:9" ht="15.75" customHeight="1" x14ac:dyDescent="0.25">
      <c r="I80" s="16" t="str">
        <f>TEXT(DATE(2026,MATCH(MID(A16,4,3),{"JAN","FEB","MAR","APR","MAY","JUN","JUL","AUG","SEP","OCT","NOV","DEC"},0),VALUE(LEFT(A16,2))),"dd-mm-yyyy")</f>
        <v>21-08-2026</v>
      </c>
    </row>
    <row r="81" spans="9:9" ht="15.75" customHeight="1" x14ac:dyDescent="0.25">
      <c r="I81" s="16" t="str">
        <f>TEXT(DATE(2026,MATCH(MID(A17,4,3),{"JAN","FEB","MAR","APR","MAY","JUN","JUL","AUG","SEP","OCT","NOV","DEC"},0),VALUE(LEFT(A17,2))),"dd-mm-yyyy")</f>
        <v>28-01-2026</v>
      </c>
    </row>
    <row r="82" spans="9:9" ht="15.75" customHeight="1" x14ac:dyDescent="0.25">
      <c r="I82" s="16" t="str">
        <f>TEXT(DATE(2026,MATCH(MID(A18,4,3),{"JAN","FEB","MAR","APR","MAY","JUN","JUL","AUG","SEP","OCT","NOV","DEC"},0),VALUE(LEFT(A18,2))),"dd-mm-yyyy")</f>
        <v>17-06-2026</v>
      </c>
    </row>
    <row r="83" spans="9:9" ht="15.75" customHeight="1" x14ac:dyDescent="0.25">
      <c r="I83" s="16" t="str">
        <f>TEXT(DATE(2026,MATCH(MID(A19,4,3),{"JAN","FEB","MAR","APR","MAY","JUN","JUL","AUG","SEP","OCT","NOV","DEC"},0),VALUE(LEFT(A19,2))),"dd-mm-yyyy")</f>
        <v>27-01-2026</v>
      </c>
    </row>
    <row r="84" spans="9:9" ht="15.75" customHeight="1" x14ac:dyDescent="0.25">
      <c r="I84" s="16" t="str">
        <f>TEXT(DATE(2026,MATCH(MID(A20,4,3),{"JAN","FEB","MAR","APR","MAY","JUN","JUL","AUG","SEP","OCT","NOV","DEC"},0),VALUE(LEFT(A20,2))),"dd-mm-yyyy")</f>
        <v>09-01-2026</v>
      </c>
    </row>
    <row r="85" spans="9:9" ht="15.75" customHeight="1" x14ac:dyDescent="0.25">
      <c r="I85" s="16" t="str">
        <f>TEXT(DATE(2026,MATCH(MID(A21,4,3),{"JAN","FEB","MAR","APR","MAY","JUN","JUL","AUG","SEP","OCT","NOV","DEC"},0),VALUE(LEFT(A21,2))),"dd-mm-yyyy")</f>
        <v>11-04-2026</v>
      </c>
    </row>
    <row r="86" spans="9:9" ht="15.75" customHeight="1" x14ac:dyDescent="0.25">
      <c r="I86" s="16" t="str">
        <f>TEXT(DATE(2026,MATCH(MID(A22,4,3),{"JAN","FEB","MAR","APR","MAY","JUN","JUL","AUG","SEP","OCT","NOV","DEC"},0),VALUE(LEFT(A22,2))),"dd-mm-yyyy")</f>
        <v>29-09-2026</v>
      </c>
    </row>
    <row r="87" spans="9:9" ht="15.75" customHeight="1" x14ac:dyDescent="0.25">
      <c r="I87" s="16" t="str">
        <f>TEXT(DATE(2026,MATCH(MID(A23,4,3),{"JAN","FEB","MAR","APR","MAY","JUN","JUL","AUG","SEP","OCT","NOV","DEC"},0),VALUE(LEFT(A23,2))),"dd-mm-yyyy")</f>
        <v>18-02-2026</v>
      </c>
    </row>
    <row r="88" spans="9:9" ht="15.75" customHeight="1" x14ac:dyDescent="0.25">
      <c r="I88" s="16" t="str">
        <f>TEXT(DATE(2026,MATCH(MID(A24,4,3),{"JAN","FEB","MAR","APR","MAY","JUN","JUL","AUG","SEP","OCT","NOV","DEC"},0),VALUE(LEFT(A24,2))),"dd-mm-yyyy")</f>
        <v>20-08-2026</v>
      </c>
    </row>
    <row r="89" spans="9:9" ht="15.75" customHeight="1" x14ac:dyDescent="0.25">
      <c r="I89" s="16" t="str">
        <f>TEXT(DATE(2026,MATCH(MID(A25,4,3),{"JAN","FEB","MAR","APR","MAY","JUN","JUL","AUG","SEP","OCT","NOV","DEC"},0),VALUE(LEFT(A25,2))),"dd-mm-yyyy")</f>
        <v>15-02-2026</v>
      </c>
    </row>
    <row r="90" spans="9:9" ht="15.75" customHeight="1" x14ac:dyDescent="0.25">
      <c r="I90" s="16" t="str">
        <f>TEXT(DATE(2026,MATCH(MID(A26,4,3),{"JAN","FEB","MAR","APR","MAY","JUN","JUL","AUG","SEP","OCT","NOV","DEC"},0),VALUE(LEFT(A26,2))),"dd-mm-yyyy")</f>
        <v>25-11-2026</v>
      </c>
    </row>
    <row r="91" spans="9:9" ht="15.75" customHeight="1" x14ac:dyDescent="0.25">
      <c r="I91" s="16" t="str">
        <f>TEXT(DATE(2026,MATCH(MID(A27,4,3),{"JAN","FEB","MAR","APR","MAY","JUN","JUL","AUG","SEP","OCT","NOV","DEC"},0),VALUE(LEFT(A27,2))),"dd-mm-yyyy")</f>
        <v>01-03-2026</v>
      </c>
    </row>
    <row r="92" spans="9:9" ht="15.75" customHeight="1" x14ac:dyDescent="0.25">
      <c r="I92" s="16" t="str">
        <f>TEXT(DATE(2026,MATCH(MID(A28,4,3),{"JAN","FEB","MAR","APR","MAY","JUN","JUL","AUG","SEP","OCT","NOV","DEC"},0),VALUE(LEFT(A28,2))),"dd-mm-yyyy")</f>
        <v>03-06-2026</v>
      </c>
    </row>
    <row r="93" spans="9:9" ht="15.75" customHeight="1" x14ac:dyDescent="0.25">
      <c r="I93" s="16" t="str">
        <f>TEXT(DATE(2026,MATCH(MID(A29,4,3),{"JAN","FEB","MAR","APR","MAY","JUN","JUL","AUG","SEP","OCT","NOV","DEC"},0),VALUE(LEFT(A29,2))),"dd-mm-yyyy")</f>
        <v>05-09-2026</v>
      </c>
    </row>
    <row r="94" spans="9:9" ht="15.75" customHeight="1" x14ac:dyDescent="0.25">
      <c r="I94" s="16" t="str">
        <f>TEXT(DATE(2026,MATCH(MID(A30,4,3),{"JAN","FEB","MAR","APR","MAY","JUN","JUL","AUG","SEP","OCT","NOV","DEC"},0),VALUE(LEFT(A30,2))),"dd-mm-yyyy")</f>
        <v>13-04-2026</v>
      </c>
    </row>
    <row r="95" spans="9:9" ht="15.75" customHeight="1" x14ac:dyDescent="0.25">
      <c r="I95" s="16" t="str">
        <f>TEXT(DATE(2026,MATCH(MID(A31,4,3),{"JAN","FEB","MAR","APR","MAY","JUN","JUL","AUG","SEP","OCT","NOV","DEC"},0),VALUE(LEFT(A31,2))),"dd-mm-yyyy")</f>
        <v>19-07-2026</v>
      </c>
    </row>
    <row r="96" spans="9:9" ht="15.75" customHeight="1" x14ac:dyDescent="0.25">
      <c r="I96" s="16" t="str">
        <f>TEXT(DATE(2026,MATCH(MID(A32,4,3),{"JAN","FEB","MAR","APR","MAY","JUN","JUL","AUG","SEP","OCT","NOV","DEC"},0),VALUE(LEFT(A32,2))),"dd-mm-yyyy")</f>
        <v>09-07-2026</v>
      </c>
    </row>
    <row r="97" spans="8:9" ht="15.75" customHeight="1" x14ac:dyDescent="0.25">
      <c r="I97" s="16"/>
    </row>
    <row r="98" spans="8:9" ht="15.75" customHeight="1" x14ac:dyDescent="0.25">
      <c r="H98">
        <v>6.1</v>
      </c>
      <c r="I98" s="16" t="s">
        <v>135</v>
      </c>
    </row>
    <row r="99" spans="8:9" ht="15.75" customHeight="1" x14ac:dyDescent="0.25">
      <c r="H99">
        <v>6.2</v>
      </c>
      <c r="I99" s="16" t="s">
        <v>136</v>
      </c>
    </row>
    <row r="100" spans="8:9" ht="15.75" customHeight="1" x14ac:dyDescent="0.25">
      <c r="I100" s="16"/>
    </row>
    <row r="101" spans="8:9" ht="15.75" customHeight="1" x14ac:dyDescent="0.25">
      <c r="I101" s="16"/>
    </row>
    <row r="102" spans="8:9" ht="15.75" customHeight="1" x14ac:dyDescent="0.25"/>
    <row r="103" spans="8:9" ht="15.75" customHeight="1" x14ac:dyDescent="0.25"/>
    <row r="104" spans="8:9" ht="15.75" customHeight="1" x14ac:dyDescent="0.25"/>
    <row r="105" spans="8:9" ht="15.75" customHeight="1" x14ac:dyDescent="0.25"/>
    <row r="106" spans="8:9" ht="15.75" customHeight="1" x14ac:dyDescent="0.25"/>
    <row r="107" spans="8:9" ht="15.75" customHeight="1" x14ac:dyDescent="0.25"/>
    <row r="108" spans="8:9" ht="15.75" customHeight="1" x14ac:dyDescent="0.25"/>
    <row r="109" spans="8:9" ht="15.75" customHeight="1" x14ac:dyDescent="0.25"/>
    <row r="110" spans="8:9" ht="15.75" customHeight="1" x14ac:dyDescent="0.25"/>
    <row r="111" spans="8:9" ht="15.75" customHeight="1" x14ac:dyDescent="0.25"/>
    <row r="112" spans="8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2">
    <sortState ref="A2:F32">
      <sortCondition ref="B2:B35"/>
    </sortState>
  </autoFilter>
  <conditionalFormatting sqref="D2:D3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{0BCDAC6F-F78D-489D-BE9C-7754AC3EE173}</x14:id>
        </ext>
      </extLst>
    </cfRule>
  </conditionalFormatting>
  <conditionalFormatting sqref="F2:F32">
    <cfRule type="colorScale" priority="8">
      <colorScale>
        <cfvo type="min"/>
        <cfvo type="max"/>
        <color rgb="FFFF7128"/>
        <color rgb="FFFFEF9C"/>
      </colorScale>
    </cfRule>
    <cfRule type="expression" priority="7">
      <formula>F2="Electronics"</formula>
    </cfRule>
    <cfRule type="expression" dxfId="2" priority="1">
      <formula>F2="Electronics"</formula>
    </cfRule>
  </conditionalFormatting>
  <conditionalFormatting sqref="F1">
    <cfRule type="expression" priority="6">
      <formula>F2="Electronics"</formula>
    </cfRule>
    <cfRule type="expression" dxfId="1" priority="5">
      <formula>F2="Electronics"</formula>
    </cfRule>
  </conditionalFormatting>
  <conditionalFormatting sqref="F2">
    <cfRule type="expression" dxfId="0" priority="4">
      <formula>$F$2:$F$32="Electronics"</formula>
    </cfRule>
    <cfRule type="expression" priority="3">
      <formula>F2="Electronics"+$F$2:$F$32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CDAC6F-F78D-489D-BE9C-7754AC3EE1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2026-09-24T17:09:17Z</dcterms:modified>
</cp:coreProperties>
</file>