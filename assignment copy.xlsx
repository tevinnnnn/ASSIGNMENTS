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1"/>
  <workbookPr defaultThemeVersion="166925"/>
  <xr:revisionPtr revIDLastSave="0" documentId="8_{69F2AE38-975F-A04B-906E-6A2D25C812B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J2" i="1" l="1" a="1"/>
  <c r="J2" i="1"/>
  <c r="I2" i="1" a="1"/>
  <c r="I2" i="1"/>
  <c r="H2" i="1" a="1"/>
  <c r="H2" i="1"/>
  <c r="N15" i="1"/>
  <c r="N13" i="1"/>
  <c r="N11" i="1"/>
  <c r="N9" i="1"/>
  <c r="N7" i="1"/>
  <c r="N3" i="1"/>
  <c r="N5" i="1"/>
  <c r="G2" i="1" a="1"/>
  <c r="G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<sst xmlns="http://schemas.openxmlformats.org/spreadsheetml/2006/main" count="153" uniqueCount="103">
  <si>
    <t>Product ID</t>
  </si>
  <si>
    <t>Product Name</t>
  </si>
  <si>
    <t>Brand Name</t>
  </si>
  <si>
    <t>Price ($)</t>
  </si>
  <si>
    <t>Quantity</t>
  </si>
  <si>
    <t>Category</t>
  </si>
  <si>
    <t>DAY</t>
  </si>
  <si>
    <t>COUNTRY CODE</t>
  </si>
  <si>
    <t>MONTH</t>
  </si>
  <si>
    <t>28-JAN-US</t>
  </si>
  <si>
    <t>Laptop</t>
  </si>
  <si>
    <t>Dell</t>
  </si>
  <si>
    <t>Electronics</t>
  </si>
  <si>
    <t>TOTAL PRICE OF ALL PRODUCTS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</si>
  <si>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</si>
  <si>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</si>
  <si>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</si>
  <si>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</si>
  <si>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</si>
  <si>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</si>
  <si>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</si>
  <si>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</si>
  <si>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HOW MANY PRODUCTS ARE THERE IN DATABASE</t>
  </si>
  <si>
    <t>11-APR-US</t>
  </si>
  <si>
    <t>Smartphone</t>
  </si>
  <si>
    <t>Samsung</t>
  </si>
  <si>
    <t>22-MAY-US</t>
  </si>
  <si>
    <t>Backpack</t>
  </si>
  <si>
    <t>North Face</t>
  </si>
  <si>
    <t>Outdoor</t>
  </si>
  <si>
    <t>AVERAGE PRICE OF PRODUCTS</t>
  </si>
  <si>
    <t>07-JUN-UK</t>
  </si>
  <si>
    <t>Headphones</t>
  </si>
  <si>
    <t>Sony</t>
  </si>
  <si>
    <t>19-JUL-UK</t>
  </si>
  <si>
    <t>T-shirt</t>
  </si>
  <si>
    <t>Adidas</t>
  </si>
  <si>
    <t>MINIMUM PRICE AMONG ALL THE PRODUCTS</t>
  </si>
  <si>
    <t>23-AUG-UK</t>
  </si>
  <si>
    <t>Blender</t>
  </si>
  <si>
    <t>Ninja</t>
  </si>
  <si>
    <t>05-SEP-UK</t>
  </si>
  <si>
    <t>Tablet</t>
  </si>
  <si>
    <t>Apple</t>
  </si>
  <si>
    <t>MAXIMUM PRICE OF ALL PRODUCTS</t>
  </si>
  <si>
    <t>14-OCT-UK</t>
  </si>
  <si>
    <t>Hiking Boots</t>
  </si>
  <si>
    <t>Timberland</t>
  </si>
  <si>
    <t>17-JUN-IN</t>
  </si>
  <si>
    <t>HP</t>
  </si>
  <si>
    <t>TOTAL PRICE OF PRODUCTS IN ELECTRONICS CATOGORY</t>
  </si>
  <si>
    <t>25-NOV-AU</t>
  </si>
  <si>
    <t>08-DEC-DE</t>
  </si>
  <si>
    <t>Nespresso</t>
  </si>
  <si>
    <t>COUNT OF PRODUCTS LESS THAN $100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</si>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</sst>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CCEBE8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2" borderId="3" xfId="0" applyFont="1" applyFill="1" applyBorder="1" applyAlignment="1">
      <alignment readingOrder="1"/>
    </xf>
    <xf numFmtId="0" fontId="2" fillId="0" borderId="4" xfId="0" applyFont="1" applyBorder="1" applyAlignment="1">
      <alignment readingOrder="1"/>
    </xf>
    <xf numFmtId="0" fontId="2" fillId="3" borderId="4" xfId="0" applyFont="1" applyFill="1" applyBorder="1" applyAlignment="1">
      <alignment readingOrder="1"/>
    </xf>
    <xf numFmtId="0" fontId="2" fillId="3" borderId="7" xfId="0" applyFont="1" applyFill="1" applyBorder="1" applyAlignment="1">
      <alignment readingOrder="1"/>
    </xf>
    <xf numFmtId="0" fontId="3" fillId="2" borderId="0" xfId="0" applyFont="1" applyFill="1"/>
    <xf numFmtId="0" fontId="2" fillId="4" borderId="5" xfId="0" applyFont="1" applyFill="1" applyBorder="1" applyAlignment="1">
      <alignment readingOrder="1"/>
    </xf>
    <xf numFmtId="0" fontId="2" fillId="4" borderId="6" xfId="0" applyFont="1" applyFill="1" applyBorder="1" applyAlignment="1">
      <alignment readingOrder="1"/>
    </xf>
    <xf numFmtId="0" fontId="0" fillId="4" borderId="0" xfId="0" applyFill="1"/>
    <xf numFmtId="0" fontId="2" fillId="4" borderId="8" xfId="0" applyFont="1" applyFill="1" applyBorder="1" applyAlignment="1">
      <alignment readingOrder="1"/>
    </xf>
    <xf numFmtId="0" fontId="2" fillId="4" borderId="9" xfId="0" applyFont="1" applyFill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CEBE8"/>
      <color rgb="FF4DD0E1"/>
      <color rgb="FFE8F2EC"/>
      <color rgb="FF1CEB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tabSelected="1" workbookViewId="0">
      <selection activeCell="L24" sqref="L24"/>
    </sheetView>
  </sheetViews>
  <sheetFormatPr defaultRowHeight="15" x14ac:dyDescent="0.2"/>
  <cols>
    <col min="6" max="6" width="12.10546875" customWidth="1"/>
    <col min="7" max="7" width="16.54296875" customWidth="1"/>
    <col min="9" max="9" width="21.38671875" customWidth="1"/>
  </cols>
  <sheetData>
    <row r="1" spans="1:14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5</v>
      </c>
      <c r="H1" s="7" t="s">
        <v>6</v>
      </c>
      <c r="I1" s="7" t="s">
        <v>7</v>
      </c>
      <c r="J1" s="7" t="s">
        <v>8</v>
      </c>
    </row>
    <row r="2" spans="1:14" x14ac:dyDescent="0.2">
      <c r="A2" s="4" t="s">
        <v>9</v>
      </c>
      <c r="B2" s="8" t="s">
        <v>10</v>
      </c>
      <c r="C2" s="8" t="s">
        <v>11</v>
      </c>
      <c r="D2" s="8">
        <v>1000</v>
      </c>
      <c r="E2" s="8">
        <v>30</v>
      </c>
      <c r="F2" s="9" t="s">
        <v>12</v>
      </c>
      <c r="G2" s="10" t="str" cm="1">
        <f t="array" ref="G2:G35">IF(D2:D35&gt;500,"HIGH PRICE","LOW PRICE")</f>
        <v>HIGH PRICE</v>
      </c>
      <c r="H2" s="10" t="str" cm="1">
        <f t="array" ref="H2:H35">LEFT(A2:A35,2)</f>
        <v>28</v>
      </c>
      <c r="I2" s="10" t="str" cm="1">
        <f t="array" ref="I2:I35">RIGHT(A2:A35,2)</f>
        <v>US</v>
      </c>
      <c r="J2" s="10" t="str" cm="1">
        <f t="array" ref="J2:J35">MID(A2:A35,4,3)</f>
        <v>JAN</v>
      </c>
      <c r="N2" t="s">
        <v>13</v>
      </c>
    </row>
    <row r="3" spans="1:14" x14ac:dyDescent="0.2">
      <c r="A3" s="5" t="s">
        <v>14</v>
      </c>
      <c r="B3" s="8" t="s">
        <v>15</v>
      </c>
      <c r="C3" s="8" t="s">
        <v>16</v>
      </c>
      <c r="D3" s="8">
        <v>80</v>
      </c>
      <c r="E3" s="8">
        <v>15</v>
      </c>
      <c r="F3" s="9" t="s">
        <v>17</v>
      </c>
      <c r="G3" s="10" t="str">
        <v>LOW PRICE</v>
      </c>
      <c r="H3" s="10" t="str">
        <v>15</v>
      </c>
      <c r="I3" s="10" t="str">
        <v>US</v>
      </c>
      <c r="J3" s="10" t="str">
        <v>FEB</v>
      </c>
      <c r="N3">
        <f>SUM(D2:D35)</f>
        <v>10100</v>
      </c>
    </row>
    <row r="4" spans="1:14" x14ac:dyDescent="0.2">
      <c r="A4" s="4" t="s">
        <v>18</v>
      </c>
      <c r="B4" s="8" t="s">
        <v>19</v>
      </c>
      <c r="C4" s="8" t="s">
        <v>20</v>
      </c>
      <c r="D4" s="8">
        <v>130</v>
      </c>
      <c r="E4" s="8">
        <v>40</v>
      </c>
      <c r="F4" s="9" t="s">
        <v>21</v>
      </c>
      <c r="G4" s="10" t="str">
        <v>LOW PRICE</v>
      </c>
      <c r="H4" s="10" t="str">
        <v>03</v>
      </c>
      <c r="I4" s="10" t="str">
        <v>US</v>
      </c>
      <c r="J4" s="10" t="str">
        <v>MAR</v>
      </c>
      <c r="N4" t="s">
        <v>22</v>
      </c>
    </row>
    <row r="5" spans="1:14" x14ac:dyDescent="0.2">
      <c r="A5" s="5" t="s">
        <v>23</v>
      </c>
      <c r="B5" s="8" t="s">
        <v>24</v>
      </c>
      <c r="C5" s="8" t="s">
        <v>25</v>
      </c>
      <c r="D5" s="8">
        <v>900</v>
      </c>
      <c r="E5" s="8">
        <v>25</v>
      </c>
      <c r="F5" s="9" t="s">
        <v>12</v>
      </c>
      <c r="G5" s="10" t="str">
        <v>HIGH PRICE</v>
      </c>
      <c r="H5" s="10" t="str">
        <v>11</v>
      </c>
      <c r="I5" s="10" t="str">
        <v>US</v>
      </c>
      <c r="J5" s="10" t="str">
        <v>APR</v>
      </c>
      <c r="N5">
        <f>COUNTA(G2:G35)</f>
        <v>34</v>
      </c>
    </row>
    <row r="6" spans="1:14" x14ac:dyDescent="0.2">
      <c r="A6" s="4" t="s">
        <v>26</v>
      </c>
      <c r="B6" s="8" t="s">
        <v>27</v>
      </c>
      <c r="C6" s="8" t="s">
        <v>28</v>
      </c>
      <c r="D6" s="8">
        <v>70</v>
      </c>
      <c r="E6" s="8">
        <v>20</v>
      </c>
      <c r="F6" s="9" t="s">
        <v>29</v>
      </c>
      <c r="G6" s="10" t="str">
        <v>LOW PRICE</v>
      </c>
      <c r="H6" s="10" t="str">
        <v>22</v>
      </c>
      <c r="I6" s="10" t="str">
        <v>US</v>
      </c>
      <c r="J6" s="10" t="str">
        <v>MAY</v>
      </c>
      <c r="N6" t="s">
        <v>30</v>
      </c>
    </row>
    <row r="7" spans="1:14" x14ac:dyDescent="0.2">
      <c r="A7" s="5" t="s">
        <v>31</v>
      </c>
      <c r="B7" s="8" t="s">
        <v>32</v>
      </c>
      <c r="C7" s="8" t="s">
        <v>33</v>
      </c>
      <c r="D7" s="8">
        <v>200</v>
      </c>
      <c r="E7" s="8">
        <v>45</v>
      </c>
      <c r="F7" s="9" t="s">
        <v>12</v>
      </c>
      <c r="G7" s="10" t="str">
        <v>LOW PRICE</v>
      </c>
      <c r="H7" s="10" t="str">
        <v>07</v>
      </c>
      <c r="I7" s="10" t="str">
        <v>UK</v>
      </c>
      <c r="J7" s="10" t="str">
        <v>JUN</v>
      </c>
      <c r="N7">
        <f>AVERAGE(D2:D35)</f>
        <v>297.05882352941177</v>
      </c>
    </row>
    <row r="8" spans="1:14" x14ac:dyDescent="0.2">
      <c r="A8" s="4" t="s">
        <v>34</v>
      </c>
      <c r="B8" s="8" t="s">
        <v>35</v>
      </c>
      <c r="C8" s="8" t="s">
        <v>36</v>
      </c>
      <c r="D8" s="8">
        <v>30</v>
      </c>
      <c r="E8" s="8">
        <v>5</v>
      </c>
      <c r="F8" s="9" t="s">
        <v>17</v>
      </c>
      <c r="G8" s="10" t="str">
        <v>LOW PRICE</v>
      </c>
      <c r="H8" s="10" t="str">
        <v>19</v>
      </c>
      <c r="I8" s="10" t="str">
        <v>UK</v>
      </c>
      <c r="J8" s="10" t="str">
        <v>JUL</v>
      </c>
      <c r="N8" t="s">
        <v>37</v>
      </c>
    </row>
    <row r="9" spans="1:14" x14ac:dyDescent="0.2">
      <c r="A9" s="5" t="s">
        <v>38</v>
      </c>
      <c r="B9" s="8" t="s">
        <v>39</v>
      </c>
      <c r="C9" s="8" t="s">
        <v>40</v>
      </c>
      <c r="D9" s="8">
        <v>90</v>
      </c>
      <c r="E9" s="8">
        <v>35</v>
      </c>
      <c r="F9" s="9" t="s">
        <v>21</v>
      </c>
      <c r="G9" s="10" t="str">
        <v>LOW PRICE</v>
      </c>
      <c r="H9" s="10" t="str">
        <v>23</v>
      </c>
      <c r="I9" s="10" t="str">
        <v>UK</v>
      </c>
      <c r="J9" s="10" t="str">
        <v>AUG</v>
      </c>
      <c r="N9">
        <f>MIN(D2:D35)</f>
        <v>30</v>
      </c>
    </row>
    <row r="10" spans="1:14" x14ac:dyDescent="0.2">
      <c r="A10" s="4" t="s">
        <v>41</v>
      </c>
      <c r="B10" s="8" t="s">
        <v>42</v>
      </c>
      <c r="C10" s="8" t="s">
        <v>43</v>
      </c>
      <c r="D10" s="8">
        <v>500</v>
      </c>
      <c r="E10" s="8">
        <v>50</v>
      </c>
      <c r="F10" s="9" t="s">
        <v>12</v>
      </c>
      <c r="G10" s="10" t="str">
        <v>LOW PRICE</v>
      </c>
      <c r="H10" s="10" t="str">
        <v>05</v>
      </c>
      <c r="I10" s="10" t="str">
        <v>UK</v>
      </c>
      <c r="J10" s="10" t="str">
        <v>SEP</v>
      </c>
      <c r="N10" t="s">
        <v>44</v>
      </c>
    </row>
    <row r="11" spans="1:14" x14ac:dyDescent="0.2">
      <c r="A11" s="5" t="s">
        <v>45</v>
      </c>
      <c r="B11" s="8" t="s">
        <v>46</v>
      </c>
      <c r="C11" s="8" t="s">
        <v>47</v>
      </c>
      <c r="D11" s="8">
        <v>130</v>
      </c>
      <c r="E11" s="8">
        <v>10</v>
      </c>
      <c r="F11" s="9" t="s">
        <v>29</v>
      </c>
      <c r="G11" s="10" t="str">
        <v>LOW PRICE</v>
      </c>
      <c r="H11" s="10" t="str">
        <v>14</v>
      </c>
      <c r="I11" s="10" t="str">
        <v>UK</v>
      </c>
      <c r="J11" s="10" t="str">
        <v>OCT</v>
      </c>
      <c r="N11">
        <f>MAX(D2:D35)</f>
        <v>1000</v>
      </c>
    </row>
    <row r="12" spans="1:14" x14ac:dyDescent="0.2">
      <c r="A12" s="4" t="s">
        <v>48</v>
      </c>
      <c r="B12" s="8" t="s">
        <v>10</v>
      </c>
      <c r="C12" s="8" t="s">
        <v>49</v>
      </c>
      <c r="D12" s="8">
        <v>950</v>
      </c>
      <c r="E12" s="8">
        <v>25</v>
      </c>
      <c r="F12" s="9" t="s">
        <v>12</v>
      </c>
      <c r="G12" s="10" t="str">
        <v>HIGH PRICE</v>
      </c>
      <c r="H12" s="10" t="str">
        <v>17</v>
      </c>
      <c r="I12" s="10" t="str">
        <v>IN</v>
      </c>
      <c r="J12" s="10" t="str">
        <v>JUN</v>
      </c>
      <c r="N12" t="s">
        <v>50</v>
      </c>
    </row>
    <row r="13" spans="1:14" x14ac:dyDescent="0.2">
      <c r="A13" s="5" t="s">
        <v>51</v>
      </c>
      <c r="B13" s="8" t="s">
        <v>15</v>
      </c>
      <c r="C13" s="8" t="s">
        <v>36</v>
      </c>
      <c r="D13" s="8">
        <v>90</v>
      </c>
      <c r="E13" s="8">
        <v>40</v>
      </c>
      <c r="F13" s="9" t="s">
        <v>17</v>
      </c>
      <c r="G13" s="10" t="str">
        <v>LOW PRICE</v>
      </c>
      <c r="H13" s="10" t="str">
        <v>25</v>
      </c>
      <c r="I13" s="10" t="str">
        <v>AU</v>
      </c>
      <c r="J13" s="10" t="str">
        <v>NOV</v>
      </c>
      <c r="N13">
        <f>SUMIF(F2:F35,"ELECTRONICS",D2:D35)</f>
        <v>8050</v>
      </c>
    </row>
    <row r="14" spans="1:14" x14ac:dyDescent="0.2">
      <c r="A14" s="4" t="s">
        <v>52</v>
      </c>
      <c r="B14" s="8" t="s">
        <v>19</v>
      </c>
      <c r="C14" s="8" t="s">
        <v>53</v>
      </c>
      <c r="D14" s="8">
        <v>120</v>
      </c>
      <c r="E14" s="8">
        <v>35</v>
      </c>
      <c r="F14" s="9" t="s">
        <v>21</v>
      </c>
      <c r="G14" s="10" t="str">
        <v>LOW PRICE</v>
      </c>
      <c r="H14" s="10" t="str">
        <v>08</v>
      </c>
      <c r="I14" s="10" t="str">
        <v>DE</v>
      </c>
      <c r="J14" s="10" t="str">
        <v>DEC</v>
      </c>
      <c r="N14" t="s">
        <v>54</v>
      </c>
    </row>
    <row r="15" spans="1:14" x14ac:dyDescent="0.2">
      <c r="A15" s="5" t="s">
        <v>55</v>
      </c>
      <c r="B15" s="8" t="s">
        <v>56</v>
      </c>
      <c r="C15" s="8" t="s">
        <v>57</v>
      </c>
      <c r="D15" s="8">
        <v>150</v>
      </c>
      <c r="E15" s="8">
        <v>15</v>
      </c>
      <c r="F15" s="9" t="s">
        <v>12</v>
      </c>
      <c r="G15" s="10" t="str">
        <v>LOW PRICE</v>
      </c>
      <c r="H15" s="10" t="str">
        <v>18</v>
      </c>
      <c r="I15" s="10" t="str">
        <v>CA</v>
      </c>
      <c r="J15" s="10" t="str">
        <v>FEB</v>
      </c>
      <c r="N15">
        <f>COUNTIF(D2:D35,"&lt;100")</f>
        <v>11</v>
      </c>
    </row>
    <row r="16" spans="1:14" x14ac:dyDescent="0.2">
      <c r="A16" s="4" t="s">
        <v>58</v>
      </c>
      <c r="B16" s="8" t="s">
        <v>32</v>
      </c>
      <c r="C16" s="8" t="s">
        <v>59</v>
      </c>
      <c r="D16" s="8">
        <v>250</v>
      </c>
      <c r="E16" s="8">
        <v>20</v>
      </c>
      <c r="F16" s="9" t="s">
        <v>12</v>
      </c>
      <c r="G16" s="10" t="str">
        <v>LOW PRICE</v>
      </c>
      <c r="H16" s="10" t="str">
        <v>16</v>
      </c>
      <c r="I16" s="10" t="str">
        <v>ES</v>
      </c>
      <c r="J16" s="10" t="str">
        <v>APR</v>
      </c>
    </row>
    <row r="17" spans="1:10" x14ac:dyDescent="0.2">
      <c r="A17" s="5" t="s">
        <v>60</v>
      </c>
      <c r="B17" s="8" t="s">
        <v>61</v>
      </c>
      <c r="C17" s="8" t="s">
        <v>62</v>
      </c>
      <c r="D17" s="8">
        <v>50</v>
      </c>
      <c r="E17" s="8">
        <v>35</v>
      </c>
      <c r="F17" s="9" t="s">
        <v>63</v>
      </c>
      <c r="G17" s="10" t="str">
        <v>LOW PRICE</v>
      </c>
      <c r="H17" s="10" t="str">
        <v>21</v>
      </c>
      <c r="I17" s="10" t="str">
        <v>CA</v>
      </c>
      <c r="J17" s="10" t="str">
        <v>AUG</v>
      </c>
    </row>
    <row r="18" spans="1:10" x14ac:dyDescent="0.2">
      <c r="A18" s="4" t="s">
        <v>64</v>
      </c>
      <c r="B18" s="8" t="s">
        <v>56</v>
      </c>
      <c r="C18" s="8" t="s">
        <v>65</v>
      </c>
      <c r="D18" s="8">
        <v>160</v>
      </c>
      <c r="E18" s="8">
        <v>15</v>
      </c>
      <c r="F18" s="9" t="s">
        <v>12</v>
      </c>
      <c r="G18" s="10" t="str">
        <v>LOW PRICE</v>
      </c>
      <c r="H18" s="10" t="str">
        <v>20</v>
      </c>
      <c r="I18" s="10" t="str">
        <v>CN</v>
      </c>
      <c r="J18" s="10" t="str">
        <v>AUG</v>
      </c>
    </row>
    <row r="19" spans="1:10" x14ac:dyDescent="0.2">
      <c r="A19" s="5" t="s">
        <v>66</v>
      </c>
      <c r="B19" s="8" t="s">
        <v>10</v>
      </c>
      <c r="C19" s="8" t="s">
        <v>67</v>
      </c>
      <c r="D19" s="8">
        <v>980</v>
      </c>
      <c r="E19" s="8">
        <v>10</v>
      </c>
      <c r="F19" s="9" t="s">
        <v>12</v>
      </c>
      <c r="G19" s="10" t="str">
        <v>HIGH PRICE</v>
      </c>
      <c r="H19" s="10" t="str">
        <v>27</v>
      </c>
      <c r="I19" s="10" t="str">
        <v>IT</v>
      </c>
      <c r="J19" s="10" t="str">
        <v>JAN</v>
      </c>
    </row>
    <row r="20" spans="1:10" x14ac:dyDescent="0.2">
      <c r="A20" s="4" t="s">
        <v>68</v>
      </c>
      <c r="B20" s="8" t="s">
        <v>69</v>
      </c>
      <c r="C20" s="8" t="s">
        <v>70</v>
      </c>
      <c r="D20" s="8">
        <v>150</v>
      </c>
      <c r="E20" s="8">
        <v>15</v>
      </c>
      <c r="F20" s="9" t="s">
        <v>17</v>
      </c>
      <c r="G20" s="10" t="str">
        <v>LOW PRICE</v>
      </c>
      <c r="H20" s="10" t="str">
        <v>01</v>
      </c>
      <c r="I20" s="10" t="str">
        <v>UK</v>
      </c>
      <c r="J20" s="10" t="str">
        <v>MAR</v>
      </c>
    </row>
    <row r="21" spans="1:10" x14ac:dyDescent="0.2">
      <c r="A21" s="5" t="s">
        <v>71</v>
      </c>
      <c r="B21" s="8" t="s">
        <v>72</v>
      </c>
      <c r="C21" s="8" t="s">
        <v>73</v>
      </c>
      <c r="D21" s="8">
        <v>200</v>
      </c>
      <c r="E21" s="8">
        <v>10</v>
      </c>
      <c r="F21" s="9" t="s">
        <v>29</v>
      </c>
      <c r="G21" s="10" t="str">
        <v>LOW PRICE</v>
      </c>
      <c r="H21" s="10" t="str">
        <v>14</v>
      </c>
      <c r="I21" s="10" t="str">
        <v>US</v>
      </c>
      <c r="J21" s="10" t="str">
        <v>AUG</v>
      </c>
    </row>
    <row r="22" spans="1:10" x14ac:dyDescent="0.2">
      <c r="A22" s="4" t="s">
        <v>74</v>
      </c>
      <c r="B22" s="8" t="s">
        <v>75</v>
      </c>
      <c r="C22" s="8" t="s">
        <v>76</v>
      </c>
      <c r="D22" s="8">
        <v>700</v>
      </c>
      <c r="E22" s="8">
        <v>50</v>
      </c>
      <c r="F22" s="9" t="s">
        <v>12</v>
      </c>
      <c r="G22" s="10" t="str">
        <v>HIGH PRICE</v>
      </c>
      <c r="H22" s="10" t="str">
        <v>14</v>
      </c>
      <c r="I22" s="10" t="str">
        <v>RU</v>
      </c>
      <c r="J22" s="10" t="str">
        <v>MAY</v>
      </c>
    </row>
    <row r="23" spans="1:10" x14ac:dyDescent="0.2">
      <c r="A23" s="5" t="s">
        <v>77</v>
      </c>
      <c r="B23" s="8" t="s">
        <v>78</v>
      </c>
      <c r="C23" s="8" t="s">
        <v>79</v>
      </c>
      <c r="D23" s="8">
        <v>80</v>
      </c>
      <c r="E23" s="8">
        <v>20</v>
      </c>
      <c r="F23" s="9" t="s">
        <v>21</v>
      </c>
      <c r="G23" s="10" t="str">
        <v>LOW PRICE</v>
      </c>
      <c r="H23" s="10" t="str">
        <v>09</v>
      </c>
      <c r="I23" s="10" t="str">
        <v>CA</v>
      </c>
      <c r="J23" s="10" t="str">
        <v>JAN</v>
      </c>
    </row>
    <row r="24" spans="1:10" x14ac:dyDescent="0.2">
      <c r="A24" s="4" t="s">
        <v>80</v>
      </c>
      <c r="B24" s="8" t="s">
        <v>81</v>
      </c>
      <c r="C24" s="8" t="s">
        <v>82</v>
      </c>
      <c r="D24" s="8">
        <v>150</v>
      </c>
      <c r="E24" s="8">
        <v>30</v>
      </c>
      <c r="F24" s="9" t="s">
        <v>12</v>
      </c>
      <c r="G24" s="10" t="str">
        <v>LOW PRICE</v>
      </c>
      <c r="H24" s="10" t="str">
        <v>19</v>
      </c>
      <c r="I24" s="10" t="str">
        <v>BR</v>
      </c>
      <c r="J24" s="10" t="str">
        <v>JUL</v>
      </c>
    </row>
    <row r="25" spans="1:10" x14ac:dyDescent="0.2">
      <c r="A25" s="5" t="s">
        <v>60</v>
      </c>
      <c r="B25" s="8" t="s">
        <v>61</v>
      </c>
      <c r="C25" s="8" t="s">
        <v>62</v>
      </c>
      <c r="D25" s="8">
        <v>50</v>
      </c>
      <c r="E25" s="8">
        <v>35</v>
      </c>
      <c r="F25" s="9" t="s">
        <v>63</v>
      </c>
      <c r="G25" s="10" t="str">
        <v>LOW PRICE</v>
      </c>
      <c r="H25" s="10" t="str">
        <v>21</v>
      </c>
      <c r="I25" s="10" t="str">
        <v>CA</v>
      </c>
      <c r="J25" s="10" t="str">
        <v>AUG</v>
      </c>
    </row>
    <row r="26" spans="1:10" x14ac:dyDescent="0.2">
      <c r="A26" s="4" t="s">
        <v>83</v>
      </c>
      <c r="B26" s="8" t="s">
        <v>24</v>
      </c>
      <c r="C26" s="8" t="s">
        <v>84</v>
      </c>
      <c r="D26" s="8">
        <v>800</v>
      </c>
      <c r="E26" s="8">
        <v>45</v>
      </c>
      <c r="F26" s="9" t="s">
        <v>12</v>
      </c>
      <c r="G26" s="10" t="str">
        <v>HIGH PRICE</v>
      </c>
      <c r="H26" s="10" t="str">
        <v>29</v>
      </c>
      <c r="I26" s="10" t="str">
        <v>CA</v>
      </c>
      <c r="J26" s="10" t="str">
        <v>SEP</v>
      </c>
    </row>
    <row r="27" spans="1:10" x14ac:dyDescent="0.2">
      <c r="A27" s="5" t="s">
        <v>85</v>
      </c>
      <c r="B27" s="8" t="s">
        <v>69</v>
      </c>
      <c r="C27" s="8" t="s">
        <v>86</v>
      </c>
      <c r="D27" s="8">
        <v>130</v>
      </c>
      <c r="E27" s="8">
        <v>25</v>
      </c>
      <c r="F27" s="9" t="s">
        <v>17</v>
      </c>
      <c r="G27" s="10" t="str">
        <v>LOW PRICE</v>
      </c>
      <c r="H27" s="10" t="str">
        <v>03</v>
      </c>
      <c r="I27" s="10" t="str">
        <v>CA</v>
      </c>
      <c r="J27" s="10" t="str">
        <v>JUN</v>
      </c>
    </row>
    <row r="28" spans="1:10" x14ac:dyDescent="0.2">
      <c r="A28" s="4" t="s">
        <v>87</v>
      </c>
      <c r="B28" s="8" t="s">
        <v>39</v>
      </c>
      <c r="C28" s="8" t="s">
        <v>88</v>
      </c>
      <c r="D28" s="8">
        <v>400</v>
      </c>
      <c r="E28" s="8">
        <v>40</v>
      </c>
      <c r="F28" s="9" t="s">
        <v>21</v>
      </c>
      <c r="G28" s="10" t="str">
        <v>LOW PRICE</v>
      </c>
      <c r="H28" s="10" t="str">
        <v>11</v>
      </c>
      <c r="I28" s="10" t="str">
        <v>CA</v>
      </c>
      <c r="J28" s="10" t="str">
        <v>JUL</v>
      </c>
    </row>
    <row r="29" spans="1:10" x14ac:dyDescent="0.2">
      <c r="A29" s="5" t="s">
        <v>58</v>
      </c>
      <c r="B29" s="8" t="s">
        <v>32</v>
      </c>
      <c r="C29" s="8" t="s">
        <v>59</v>
      </c>
      <c r="D29" s="8">
        <v>230</v>
      </c>
      <c r="E29" s="8">
        <v>20</v>
      </c>
      <c r="F29" s="9" t="s">
        <v>12</v>
      </c>
      <c r="G29" s="10" t="str">
        <v>LOW PRICE</v>
      </c>
      <c r="H29" s="10" t="str">
        <v>16</v>
      </c>
      <c r="I29" s="10" t="str">
        <v>ES</v>
      </c>
      <c r="J29" s="10" t="str">
        <v>APR</v>
      </c>
    </row>
    <row r="30" spans="1:10" x14ac:dyDescent="0.2">
      <c r="A30" s="4" t="s">
        <v>89</v>
      </c>
      <c r="B30" s="8" t="s">
        <v>90</v>
      </c>
      <c r="C30" s="8" t="s">
        <v>91</v>
      </c>
      <c r="D30" s="8">
        <v>60</v>
      </c>
      <c r="E30" s="8">
        <v>30</v>
      </c>
      <c r="F30" s="9" t="s">
        <v>17</v>
      </c>
      <c r="G30" s="10" t="str">
        <v>LOW PRICE</v>
      </c>
      <c r="H30" s="10" t="str">
        <v>07</v>
      </c>
      <c r="I30" s="10" t="str">
        <v>CA</v>
      </c>
      <c r="J30" s="10" t="str">
        <v>MAR</v>
      </c>
    </row>
    <row r="31" spans="1:10" x14ac:dyDescent="0.2">
      <c r="A31" s="5" t="s">
        <v>92</v>
      </c>
      <c r="B31" s="8" t="s">
        <v>93</v>
      </c>
      <c r="C31" s="8" t="s">
        <v>94</v>
      </c>
      <c r="D31" s="8">
        <v>40</v>
      </c>
      <c r="E31" s="8">
        <v>10</v>
      </c>
      <c r="F31" s="9" t="s">
        <v>21</v>
      </c>
      <c r="G31" s="10" t="str">
        <v>LOW PRICE</v>
      </c>
      <c r="H31" s="10" t="str">
        <v>13</v>
      </c>
      <c r="I31" s="10" t="str">
        <v>CA</v>
      </c>
      <c r="J31" s="10" t="str">
        <v>APR</v>
      </c>
    </row>
    <row r="32" spans="1:10" x14ac:dyDescent="0.2">
      <c r="A32" s="4" t="s">
        <v>95</v>
      </c>
      <c r="B32" s="8" t="s">
        <v>81</v>
      </c>
      <c r="C32" s="8" t="s">
        <v>96</v>
      </c>
      <c r="D32" s="8">
        <v>130</v>
      </c>
      <c r="E32" s="8">
        <v>5</v>
      </c>
      <c r="F32" s="9" t="s">
        <v>12</v>
      </c>
      <c r="G32" s="10" t="str">
        <v>LOW PRICE</v>
      </c>
      <c r="H32" s="10" t="str">
        <v>24</v>
      </c>
      <c r="I32" s="10" t="str">
        <v>CA</v>
      </c>
      <c r="J32" s="10" t="str">
        <v>MAY</v>
      </c>
    </row>
    <row r="33" spans="1:10" x14ac:dyDescent="0.2">
      <c r="A33" s="5" t="s">
        <v>97</v>
      </c>
      <c r="B33" s="8" t="s">
        <v>98</v>
      </c>
      <c r="C33" s="8" t="s">
        <v>99</v>
      </c>
      <c r="D33" s="8">
        <v>50</v>
      </c>
      <c r="E33" s="8">
        <v>50</v>
      </c>
      <c r="F33" s="9" t="s">
        <v>17</v>
      </c>
      <c r="G33" s="10" t="str">
        <v>LOW PRICE</v>
      </c>
      <c r="H33" s="10" t="str">
        <v>02</v>
      </c>
      <c r="I33" s="10" t="str">
        <v>CA</v>
      </c>
      <c r="J33" s="10" t="str">
        <v>DEC</v>
      </c>
    </row>
    <row r="34" spans="1:10" x14ac:dyDescent="0.2">
      <c r="A34" s="4" t="s">
        <v>48</v>
      </c>
      <c r="B34" s="8" t="s">
        <v>10</v>
      </c>
      <c r="C34" s="8" t="s">
        <v>49</v>
      </c>
      <c r="D34" s="8">
        <v>950</v>
      </c>
      <c r="E34" s="8">
        <v>25</v>
      </c>
      <c r="F34" s="9" t="s">
        <v>12</v>
      </c>
      <c r="G34" s="10" t="str">
        <v>HIGH PRICE</v>
      </c>
      <c r="H34" s="10" t="str">
        <v>17</v>
      </c>
      <c r="I34" s="10" t="str">
        <v>IN</v>
      </c>
      <c r="J34" s="10" t="str">
        <v>JUN</v>
      </c>
    </row>
    <row r="35" spans="1:10" x14ac:dyDescent="0.2">
      <c r="A35" s="6" t="s">
        <v>100</v>
      </c>
      <c r="B35" s="11" t="s">
        <v>101</v>
      </c>
      <c r="C35" s="11" t="s">
        <v>102</v>
      </c>
      <c r="D35" s="11">
        <v>100</v>
      </c>
      <c r="E35" s="11">
        <v>20</v>
      </c>
      <c r="F35" s="12" t="s">
        <v>63</v>
      </c>
      <c r="G35" s="10" t="str">
        <v>LOW PRICE</v>
      </c>
      <c r="H35" s="10" t="str">
        <v>09</v>
      </c>
      <c r="I35" s="10" t="str">
        <v>FR</v>
      </c>
      <c r="J35" s="10" t="str">
        <v>JUL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2026-09-17T05:10:56Z</dcterms:created>
  <dcterms:modified xsi:type="dcterms:W3CDTF">2026-09-17T06:22:24Z</dcterms:modified>
  <cp:category/>
  <cp:contentStatus/>
</cp:coreProperties>
</file>